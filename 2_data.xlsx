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<sst xmlns="http://schemas.openxmlformats.org/spreadsheetml/2006/main" count="79" uniqueCount="49">
  <si>
    <t>Resonancia en un circuito RLC</t>
  </si>
  <si>
    <t>Frecuencias de resonancia variando inductancia</t>
  </si>
  <si>
    <t>L (H)</t>
  </si>
  <si>
    <t>C (F)</t>
  </si>
  <si>
    <t>R (ohm)</t>
  </si>
  <si>
    <t>w_t (s^-1)</t>
  </si>
  <si>
    <t>T_exp (s)</t>
  </si>
  <si>
    <t>w_exp (s^-1)</t>
  </si>
  <si>
    <t>Error T (ms)</t>
  </si>
  <si>
    <t>Frecuencias de resonancia variando capacidad</t>
  </si>
  <si>
    <t>Función respuesta</t>
  </si>
  <si>
    <t xml:space="preserve">f (s^-1) </t>
  </si>
  <si>
    <t>Error f</t>
  </si>
  <si>
    <t>Vpp (V)</t>
  </si>
  <si>
    <t>Error Vpp</t>
  </si>
  <si>
    <t>Segunda medida, mismos parametros</t>
  </si>
  <si>
    <t>20,8masmenos0,1</t>
  </si>
  <si>
    <t>desfase (ms)</t>
  </si>
  <si>
    <t>error desfase (ms)</t>
  </si>
  <si>
    <t>ángulo (rad)</t>
  </si>
  <si>
    <t>CIRCUITOS ACOPLADOS POR UNA RESISTENCIA</t>
  </si>
  <si>
    <t>http://www.sc.ehu.es/sbweb/fisica3/fem/oscilador_3/oscilador_3.html</t>
  </si>
  <si>
    <t>Voltaje variando resistencia acople</t>
  </si>
  <si>
    <t>Mismos valores de RLC en ambos circuitos</t>
  </si>
  <si>
    <t>1 es el de la fuente</t>
  </si>
  <si>
    <t>w (rad/s)</t>
  </si>
  <si>
    <t>pm1</t>
  </si>
  <si>
    <t>L(H)</t>
  </si>
  <si>
    <t>R(Ohmios)</t>
  </si>
  <si>
    <t xml:space="preserve">Vpp1 (V) </t>
  </si>
  <si>
    <t>Error_Vpp1</t>
  </si>
  <si>
    <t>Vpp2 (V)</t>
  </si>
  <si>
    <t>Error_Vpp2</t>
  </si>
  <si>
    <t>Voltaje en función de la frecuencia</t>
  </si>
  <si>
    <t>Mismos RL en ambos circuitos</t>
  </si>
  <si>
    <t>R (Ohmios)</t>
  </si>
  <si>
    <t>L (Ohmios)</t>
  </si>
  <si>
    <t>R_acople (Ohmios)</t>
  </si>
  <si>
    <t>V_in,max</t>
  </si>
  <si>
    <t>18masmenos0,1</t>
  </si>
  <si>
    <t>w (s^-1)</t>
  </si>
  <si>
    <t>Error_w</t>
  </si>
  <si>
    <t>C_1 (F)</t>
  </si>
  <si>
    <t>Vpp1 (V)</t>
  </si>
  <si>
    <t>Desfase1 (ms)</t>
  </si>
  <si>
    <t>Error_desfase1</t>
  </si>
  <si>
    <t>C_2 (F)</t>
  </si>
  <si>
    <t>Desfase2</t>
  </si>
  <si>
    <t>Error_desfase2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</si>
</sst>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Font="1" applyNumberFormat="1"/>
    <xf borderId="0" fillId="0" fontId="1" numFmtId="11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c.ehu.es/sbweb/fisica3/fem/oscilador_3/oscilador_3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6" max="26" width="14.13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>
        <v>1.0</v>
      </c>
      <c r="C3" s="1">
        <v>0.9</v>
      </c>
      <c r="D3" s="1">
        <v>0.8</v>
      </c>
      <c r="E3" s="1">
        <v>0.7</v>
      </c>
      <c r="F3" s="1">
        <v>0.6</v>
      </c>
      <c r="G3" s="1">
        <v>0.5</v>
      </c>
      <c r="H3" s="1">
        <v>0.4</v>
      </c>
      <c r="I3" s="1">
        <v>0.3</v>
      </c>
      <c r="J3" s="1">
        <v>0.2</v>
      </c>
      <c r="K3" s="1">
        <v>0.1</v>
      </c>
    </row>
    <row r="4">
      <c r="A4" s="1" t="s">
        <v>3</v>
      </c>
      <c r="B4" s="2">
        <v>1.0E-7</v>
      </c>
      <c r="C4" s="2">
        <v>1.0E-7</v>
      </c>
      <c r="D4" s="2">
        <v>1.0E-7</v>
      </c>
      <c r="E4" s="2">
        <v>1.0E-7</v>
      </c>
      <c r="F4" s="2">
        <v>1.0E-7</v>
      </c>
      <c r="G4" s="2">
        <v>1.0E-7</v>
      </c>
      <c r="H4" s="2">
        <v>1.0E-7</v>
      </c>
      <c r="I4" s="2">
        <v>1.0E-7</v>
      </c>
      <c r="J4" s="2">
        <v>1.0E-7</v>
      </c>
      <c r="K4" s="2">
        <v>1.0E-7</v>
      </c>
    </row>
    <row r="5">
      <c r="A5" s="1" t="s">
        <v>4</v>
      </c>
      <c r="B5" s="1">
        <v>100.0</v>
      </c>
      <c r="C5" s="1">
        <v>100.0</v>
      </c>
      <c r="D5" s="1">
        <v>100.0</v>
      </c>
      <c r="E5" s="1">
        <v>100.0</v>
      </c>
      <c r="F5" s="1">
        <v>100.0</v>
      </c>
      <c r="G5" s="1">
        <v>100.0</v>
      </c>
      <c r="H5" s="1">
        <v>100.0</v>
      </c>
      <c r="I5" s="1">
        <v>100.0</v>
      </c>
      <c r="J5" s="1">
        <v>100.0</v>
      </c>
      <c r="K5" s="1">
        <v>100.0</v>
      </c>
    </row>
    <row r="6">
      <c r="A6" s="1" t="s">
        <v>5</v>
      </c>
      <c r="B6" s="3">
        <f t="shared" ref="B6:K6" si="1">1/SQRT(B3*$B$4)</f>
        <v>3162.27766</v>
      </c>
      <c r="C6" s="3">
        <f t="shared" si="1"/>
        <v>3333.333333</v>
      </c>
      <c r="D6" s="3">
        <f t="shared" si="1"/>
        <v>3535.533906</v>
      </c>
      <c r="E6" s="3">
        <f t="shared" si="1"/>
        <v>3779.64473</v>
      </c>
      <c r="F6" s="3">
        <f t="shared" si="1"/>
        <v>4082.482905</v>
      </c>
      <c r="G6" s="3">
        <f t="shared" si="1"/>
        <v>4472.135955</v>
      </c>
      <c r="H6" s="3">
        <f t="shared" si="1"/>
        <v>5000</v>
      </c>
      <c r="I6" s="3">
        <f t="shared" si="1"/>
        <v>5773.502692</v>
      </c>
      <c r="J6" s="3">
        <f t="shared" si="1"/>
        <v>7071.067812</v>
      </c>
      <c r="K6" s="3">
        <f t="shared" si="1"/>
        <v>10000</v>
      </c>
    </row>
    <row r="7">
      <c r="A7" s="1" t="s">
        <v>6</v>
      </c>
      <c r="B7" s="2">
        <v>0.00204</v>
      </c>
      <c r="C7" s="2">
        <v>0.00192</v>
      </c>
      <c r="D7" s="2">
        <v>0.0018</v>
      </c>
      <c r="E7" s="2">
        <v>0.00172</v>
      </c>
      <c r="F7" s="2">
        <v>0.00164</v>
      </c>
      <c r="G7" s="2">
        <v>0.00144</v>
      </c>
      <c r="H7" s="2">
        <v>0.00128</v>
      </c>
      <c r="I7" s="2">
        <v>0.00116</v>
      </c>
      <c r="J7" s="2">
        <v>9.2E-4</v>
      </c>
      <c r="K7" s="2">
        <v>6.6E-4</v>
      </c>
    </row>
    <row r="8">
      <c r="A8" s="1" t="s">
        <v>7</v>
      </c>
      <c r="B8" s="4">
        <f t="shared" ref="B8:K8" si="2">2*PI()/B7</f>
        <v>3079.992798</v>
      </c>
      <c r="C8" s="4">
        <f t="shared" si="2"/>
        <v>3272.492347</v>
      </c>
      <c r="D8" s="4">
        <f t="shared" si="2"/>
        <v>3490.658504</v>
      </c>
      <c r="E8" s="4">
        <f t="shared" si="2"/>
        <v>3653.014713</v>
      </c>
      <c r="F8" s="4">
        <f t="shared" si="2"/>
        <v>3831.210553</v>
      </c>
      <c r="G8" s="4">
        <f t="shared" si="2"/>
        <v>4363.32313</v>
      </c>
      <c r="H8" s="4">
        <f t="shared" si="2"/>
        <v>4908.738521</v>
      </c>
      <c r="I8" s="4">
        <f t="shared" si="2"/>
        <v>5416.539058</v>
      </c>
      <c r="J8" s="4">
        <f t="shared" si="2"/>
        <v>6829.549247</v>
      </c>
      <c r="K8" s="4">
        <f t="shared" si="2"/>
        <v>9519.977738</v>
      </c>
    </row>
    <row r="9">
      <c r="A9" s="1" t="s">
        <v>8</v>
      </c>
      <c r="B9" s="1">
        <v>0.04</v>
      </c>
      <c r="C9" s="1">
        <v>0.04</v>
      </c>
      <c r="D9" s="1">
        <v>0.04</v>
      </c>
      <c r="E9" s="1">
        <v>0.04</v>
      </c>
      <c r="F9" s="1">
        <v>0.04</v>
      </c>
      <c r="G9" s="1">
        <v>0.04</v>
      </c>
      <c r="H9" s="1">
        <v>0.04</v>
      </c>
      <c r="I9" s="1">
        <v>0.04</v>
      </c>
      <c r="J9" s="1">
        <v>0.02</v>
      </c>
      <c r="K9" s="1">
        <v>0.02</v>
      </c>
    </row>
    <row r="11">
      <c r="A11" s="1" t="s">
        <v>9</v>
      </c>
    </row>
    <row r="12" ht="14.25" customHeight="1">
      <c r="A12" s="1" t="s">
        <v>2</v>
      </c>
      <c r="B12" s="1">
        <v>1.0</v>
      </c>
      <c r="C12" s="1">
        <v>1.0</v>
      </c>
      <c r="D12" s="1">
        <v>1.0</v>
      </c>
      <c r="E12" s="1">
        <v>1.0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</row>
    <row r="13">
      <c r="A13" s="1" t="s">
        <v>3</v>
      </c>
      <c r="B13" s="2">
        <v>1.0E-7</v>
      </c>
      <c r="C13" s="2">
        <v>9.0E-8</v>
      </c>
      <c r="D13" s="2">
        <v>8.0E-8</v>
      </c>
      <c r="E13" s="2">
        <v>7.0E-8</v>
      </c>
      <c r="F13" s="2">
        <v>6.0E-8</v>
      </c>
      <c r="G13" s="2">
        <v>5.0E-8</v>
      </c>
      <c r="H13" s="2">
        <v>4.0E-8</v>
      </c>
      <c r="I13" s="2">
        <v>3.0E-8</v>
      </c>
      <c r="J13" s="2">
        <v>2.0E-8</v>
      </c>
      <c r="K13" s="2">
        <v>1.0E-8</v>
      </c>
    </row>
    <row r="14">
      <c r="A14" s="1" t="s">
        <v>4</v>
      </c>
      <c r="B14" s="1">
        <v>100.0</v>
      </c>
      <c r="C14" s="1">
        <v>100.0</v>
      </c>
      <c r="D14" s="1">
        <v>100.0</v>
      </c>
      <c r="E14" s="1">
        <v>100.0</v>
      </c>
      <c r="F14" s="1">
        <v>100.0</v>
      </c>
      <c r="G14" s="1">
        <v>100.0</v>
      </c>
      <c r="H14" s="1">
        <v>100.0</v>
      </c>
      <c r="I14" s="1">
        <v>100.0</v>
      </c>
      <c r="J14" s="1">
        <v>100.0</v>
      </c>
      <c r="K14" s="1">
        <v>100.0</v>
      </c>
    </row>
    <row r="15">
      <c r="A15" s="1" t="s">
        <v>5</v>
      </c>
      <c r="B15" s="5">
        <f t="shared" ref="B15:K15" si="3">1/SQRT(B12*B13)</f>
        <v>3162.27766</v>
      </c>
      <c r="C15" s="3">
        <f t="shared" si="3"/>
        <v>3333.333333</v>
      </c>
      <c r="D15" s="5">
        <f t="shared" si="3"/>
        <v>3535.533906</v>
      </c>
      <c r="E15" s="3">
        <f t="shared" si="3"/>
        <v>3779.64473</v>
      </c>
      <c r="F15" s="5">
        <f t="shared" si="3"/>
        <v>4082.482905</v>
      </c>
      <c r="G15" s="3">
        <f t="shared" si="3"/>
        <v>4472.135955</v>
      </c>
      <c r="H15" s="5">
        <f t="shared" si="3"/>
        <v>5000</v>
      </c>
      <c r="I15" s="3">
        <f t="shared" si="3"/>
        <v>5773.502692</v>
      </c>
      <c r="J15" s="5">
        <f t="shared" si="3"/>
        <v>7071.067812</v>
      </c>
      <c r="K15" s="3">
        <f t="shared" si="3"/>
        <v>10000</v>
      </c>
    </row>
    <row r="16">
      <c r="A16" s="1" t="s">
        <v>6</v>
      </c>
      <c r="B16" s="2">
        <v>0.002</v>
      </c>
      <c r="C16" s="2">
        <v>0.00196</v>
      </c>
      <c r="D16" s="2">
        <v>0.00184</v>
      </c>
      <c r="E16" s="2">
        <v>0.00168</v>
      </c>
      <c r="F16" s="2">
        <v>0.0016</v>
      </c>
      <c r="G16" s="2">
        <v>0.00144</v>
      </c>
      <c r="H16" s="2">
        <v>0.00128</v>
      </c>
      <c r="I16" s="2">
        <v>0.00116</v>
      </c>
      <c r="J16" s="2">
        <v>8.8E-4</v>
      </c>
      <c r="K16" s="2">
        <v>6.4E-5</v>
      </c>
    </row>
    <row r="17">
      <c r="A17" s="1" t="s">
        <v>7</v>
      </c>
      <c r="B17" s="4">
        <f t="shared" ref="B17:K17" si="4">2*PI()/B16</f>
        <v>3141.592654</v>
      </c>
      <c r="C17" s="4">
        <f t="shared" si="4"/>
        <v>3205.706789</v>
      </c>
      <c r="D17" s="4">
        <f t="shared" si="4"/>
        <v>3414.774623</v>
      </c>
      <c r="E17" s="4">
        <f t="shared" si="4"/>
        <v>3739.991254</v>
      </c>
      <c r="F17" s="4">
        <f t="shared" si="4"/>
        <v>3926.990817</v>
      </c>
      <c r="G17" s="4">
        <f t="shared" si="4"/>
        <v>4363.32313</v>
      </c>
      <c r="H17" s="4">
        <f t="shared" si="4"/>
        <v>4908.738521</v>
      </c>
      <c r="I17" s="4">
        <f t="shared" si="4"/>
        <v>5416.539058</v>
      </c>
      <c r="J17" s="4">
        <f t="shared" si="4"/>
        <v>7139.983304</v>
      </c>
      <c r="K17" s="4">
        <f t="shared" si="4"/>
        <v>98174.77042</v>
      </c>
    </row>
    <row r="18">
      <c r="A18" s="1" t="s">
        <v>8</v>
      </c>
      <c r="B18" s="1">
        <v>0.04</v>
      </c>
      <c r="C18" s="1">
        <v>0.04</v>
      </c>
      <c r="D18" s="1">
        <v>0.04</v>
      </c>
      <c r="E18" s="1">
        <v>0.04</v>
      </c>
      <c r="F18" s="1">
        <v>0.04</v>
      </c>
      <c r="G18" s="1">
        <v>0.04</v>
      </c>
      <c r="H18" s="1">
        <v>0.04</v>
      </c>
      <c r="I18" s="1">
        <v>0.04</v>
      </c>
      <c r="J18" s="1">
        <v>0.04</v>
      </c>
      <c r="K18" s="1">
        <v>0.04</v>
      </c>
    </row>
    <row r="22">
      <c r="A22" s="1" t="s">
        <v>10</v>
      </c>
    </row>
    <row r="23">
      <c r="A23" s="1" t="s">
        <v>2</v>
      </c>
      <c r="B23" s="1">
        <v>1.0</v>
      </c>
      <c r="C23" s="1" t="s">
        <v>3</v>
      </c>
      <c r="D23" s="2">
        <v>1.0E-7</v>
      </c>
      <c r="E23" s="1" t="s">
        <v>4</v>
      </c>
      <c r="F23" s="1">
        <v>100.0</v>
      </c>
    </row>
    <row r="24">
      <c r="A24" s="1" t="s">
        <v>11</v>
      </c>
      <c r="B24" s="1">
        <v>17.4</v>
      </c>
      <c r="C24" s="1">
        <v>41.0</v>
      </c>
      <c r="D24" s="1">
        <v>82.0</v>
      </c>
      <c r="E24" s="1">
        <v>162.0</v>
      </c>
      <c r="F24" s="1">
        <v>259.0</v>
      </c>
      <c r="G24" s="1">
        <v>325.0</v>
      </c>
      <c r="H24" s="1">
        <v>392.0</v>
      </c>
      <c r="I24" s="1">
        <v>420.0</v>
      </c>
      <c r="J24" s="1">
        <v>460.0</v>
      </c>
      <c r="K24" s="1">
        <v>482.0</v>
      </c>
      <c r="L24" s="1">
        <v>506.0</v>
      </c>
      <c r="M24" s="1">
        <v>530.0</v>
      </c>
      <c r="N24" s="1">
        <v>558.0</v>
      </c>
      <c r="O24" s="1">
        <v>640.0</v>
      </c>
      <c r="P24" s="1">
        <v>787.0</v>
      </c>
      <c r="Q24" s="1">
        <v>941.0</v>
      </c>
      <c r="R24" s="1">
        <v>1225.0</v>
      </c>
    </row>
    <row r="25">
      <c r="A25" s="1" t="s">
        <v>12</v>
      </c>
      <c r="B25" s="1">
        <v>0.1</v>
      </c>
      <c r="C25" s="1">
        <v>1.0</v>
      </c>
      <c r="D25" s="1">
        <v>1.0</v>
      </c>
      <c r="E25" s="1">
        <v>1.0</v>
      </c>
      <c r="F25" s="1">
        <v>1.0</v>
      </c>
      <c r="G25" s="1">
        <v>1.0</v>
      </c>
      <c r="H25" s="1">
        <v>1.0</v>
      </c>
      <c r="I25" s="1">
        <v>2.0</v>
      </c>
      <c r="J25" s="1">
        <v>2.0</v>
      </c>
      <c r="K25" s="1">
        <v>2.0</v>
      </c>
      <c r="L25" s="1">
        <v>2.0</v>
      </c>
      <c r="M25" s="1">
        <v>2.0</v>
      </c>
      <c r="N25" s="1">
        <v>2.0</v>
      </c>
      <c r="O25" s="1">
        <v>2.0</v>
      </c>
      <c r="P25" s="1">
        <v>2.0</v>
      </c>
      <c r="Q25" s="1">
        <v>2.0</v>
      </c>
      <c r="R25" s="1">
        <v>2.0</v>
      </c>
    </row>
    <row r="26">
      <c r="A26" s="1" t="s">
        <v>13</v>
      </c>
      <c r="B26" s="1">
        <v>21.6</v>
      </c>
      <c r="C26" s="1">
        <v>21.6</v>
      </c>
      <c r="D26" s="1">
        <v>21.6</v>
      </c>
      <c r="E26" s="1">
        <v>24.0</v>
      </c>
      <c r="F26" s="1">
        <v>28.4</v>
      </c>
      <c r="G26" s="1">
        <v>35.6</v>
      </c>
      <c r="H26" s="1">
        <v>49.2</v>
      </c>
      <c r="I26" s="1">
        <v>57.2</v>
      </c>
      <c r="J26" s="1">
        <v>70.4</v>
      </c>
      <c r="K26" s="1">
        <v>71.8</v>
      </c>
      <c r="L26" s="1">
        <v>66.0</v>
      </c>
      <c r="M26" s="1">
        <v>57.2</v>
      </c>
      <c r="N26" s="1">
        <v>47.2</v>
      </c>
      <c r="O26" s="1">
        <v>26.4</v>
      </c>
      <c r="P26" s="1">
        <v>13.2</v>
      </c>
      <c r="Q26" s="1">
        <v>8.2</v>
      </c>
      <c r="R26" s="1">
        <v>4.4</v>
      </c>
    </row>
    <row r="27">
      <c r="A27" s="1" t="s">
        <v>14</v>
      </c>
      <c r="B27" s="1">
        <v>0.1</v>
      </c>
      <c r="C27" s="1">
        <v>0.1</v>
      </c>
      <c r="D27" s="1">
        <v>0.1</v>
      </c>
      <c r="E27" s="1">
        <v>0.1</v>
      </c>
      <c r="F27" s="1">
        <v>0.1</v>
      </c>
      <c r="G27" s="1">
        <v>0.1</v>
      </c>
      <c r="H27" s="1">
        <v>0.1</v>
      </c>
      <c r="I27" s="1">
        <v>0.1</v>
      </c>
      <c r="J27" s="1">
        <v>0.1</v>
      </c>
      <c r="K27" s="1">
        <v>0.2</v>
      </c>
      <c r="L27" s="1">
        <v>0.4</v>
      </c>
      <c r="M27" s="1">
        <v>0.4</v>
      </c>
      <c r="N27" s="1">
        <v>0.4</v>
      </c>
      <c r="O27" s="1">
        <v>0.2</v>
      </c>
      <c r="P27" s="1">
        <v>0.1</v>
      </c>
      <c r="Q27" s="1">
        <v>0.1</v>
      </c>
      <c r="R27" s="1">
        <v>0.2</v>
      </c>
    </row>
    <row r="28">
      <c r="A28" s="1" t="s">
        <v>15</v>
      </c>
      <c r="D28" s="1" t="s">
        <v>16</v>
      </c>
    </row>
    <row r="29">
      <c r="A29" s="1" t="s">
        <v>11</v>
      </c>
      <c r="B29" s="1">
        <v>16.3</v>
      </c>
      <c r="C29" s="1">
        <v>144.5</v>
      </c>
      <c r="D29" s="1">
        <v>270.0</v>
      </c>
      <c r="E29" s="1">
        <v>359.0</v>
      </c>
      <c r="F29" s="1">
        <v>400.0</v>
      </c>
      <c r="G29" s="1">
        <v>426.0</v>
      </c>
      <c r="H29" s="1">
        <v>453.0</v>
      </c>
      <c r="I29" s="1">
        <v>472.0</v>
      </c>
      <c r="J29" s="1">
        <v>481.0</v>
      </c>
      <c r="K29" s="1">
        <v>503.0</v>
      </c>
      <c r="L29" s="1">
        <v>529.0</v>
      </c>
      <c r="M29" s="1">
        <v>547.0</v>
      </c>
      <c r="N29" s="1">
        <v>612.0</v>
      </c>
      <c r="O29" s="1">
        <v>678.0</v>
      </c>
      <c r="P29" s="1">
        <v>764.0</v>
      </c>
      <c r="Q29" s="1">
        <v>880.0</v>
      </c>
      <c r="R29" s="1">
        <v>1138.0</v>
      </c>
    </row>
    <row r="30">
      <c r="A30" s="1" t="s">
        <v>12</v>
      </c>
      <c r="B30" s="1">
        <v>0.2</v>
      </c>
      <c r="C30" s="1">
        <v>0.2</v>
      </c>
      <c r="D30" s="1">
        <v>1.0</v>
      </c>
      <c r="E30" s="1">
        <v>1.0</v>
      </c>
      <c r="F30" s="1">
        <v>1.0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>
        <v>1.0</v>
      </c>
      <c r="N30" s="1">
        <v>1.0</v>
      </c>
      <c r="O30" s="1">
        <v>1.0</v>
      </c>
      <c r="P30" s="1">
        <v>1.0</v>
      </c>
      <c r="Q30" s="1">
        <v>1.0</v>
      </c>
      <c r="R30" s="1">
        <v>1.0</v>
      </c>
    </row>
    <row r="31">
      <c r="A31" s="1" t="s">
        <v>13</v>
      </c>
      <c r="B31" s="1">
        <v>21.2</v>
      </c>
      <c r="C31" s="1">
        <v>23.2</v>
      </c>
      <c r="D31" s="1">
        <v>29.6</v>
      </c>
      <c r="E31" s="1">
        <v>41.2</v>
      </c>
      <c r="F31" s="1">
        <v>51.8</v>
      </c>
      <c r="G31" s="1">
        <v>60.0</v>
      </c>
      <c r="H31" s="1">
        <v>68.8</v>
      </c>
      <c r="I31" s="1">
        <v>72.0</v>
      </c>
      <c r="J31" s="1">
        <v>71.4</v>
      </c>
      <c r="K31" s="1">
        <v>67.0</v>
      </c>
      <c r="L31" s="1">
        <v>57.0</v>
      </c>
      <c r="M31" s="1">
        <v>50.4</v>
      </c>
      <c r="N31" s="1">
        <v>31.2</v>
      </c>
      <c r="O31" s="1">
        <v>21.6</v>
      </c>
      <c r="P31" s="1">
        <v>14.4</v>
      </c>
      <c r="Q31" s="1">
        <v>9.8</v>
      </c>
      <c r="R31" s="1">
        <v>5.4</v>
      </c>
    </row>
    <row r="32">
      <c r="A32" s="1" t="s">
        <v>14</v>
      </c>
      <c r="B32" s="1">
        <v>0.1</v>
      </c>
      <c r="C32" s="1">
        <v>0.1</v>
      </c>
      <c r="D32" s="1">
        <v>0.1</v>
      </c>
      <c r="E32" s="1">
        <v>0.1</v>
      </c>
      <c r="F32" s="1">
        <v>0.2</v>
      </c>
      <c r="G32" s="1">
        <v>0.1</v>
      </c>
      <c r="H32" s="1">
        <v>0.1</v>
      </c>
      <c r="I32" s="1">
        <v>0.1</v>
      </c>
      <c r="J32" s="1">
        <v>0.2</v>
      </c>
      <c r="K32" s="1">
        <v>0.2</v>
      </c>
      <c r="L32" s="1">
        <v>0.2</v>
      </c>
      <c r="M32" s="1">
        <v>0.1</v>
      </c>
      <c r="N32" s="1">
        <v>0.1</v>
      </c>
      <c r="O32" s="1">
        <v>0.1</v>
      </c>
      <c r="P32" s="1">
        <v>0.1</v>
      </c>
      <c r="Q32" s="1">
        <v>0.2</v>
      </c>
      <c r="R32" s="1">
        <v>0.2</v>
      </c>
    </row>
    <row r="33">
      <c r="A33" s="1" t="s">
        <v>17</v>
      </c>
      <c r="B33" s="1">
        <v>0.0</v>
      </c>
      <c r="C33" s="1">
        <v>0.2</v>
      </c>
      <c r="D33" s="1">
        <v>0.2</v>
      </c>
      <c r="E33" s="1">
        <v>0.2</v>
      </c>
      <c r="F33" s="1">
        <v>0.26</v>
      </c>
      <c r="G33" s="1">
        <v>0.32</v>
      </c>
      <c r="H33" s="1">
        <v>0.42</v>
      </c>
      <c r="I33" s="1">
        <v>0.47</v>
      </c>
      <c r="J33" s="1">
        <v>0.51</v>
      </c>
      <c r="K33" s="1">
        <v>0.57</v>
      </c>
      <c r="L33" s="1">
        <v>0.65</v>
      </c>
      <c r="M33" s="1">
        <v>0.67</v>
      </c>
      <c r="N33" s="1">
        <v>0.7</v>
      </c>
      <c r="O33" s="1">
        <v>0.63</v>
      </c>
      <c r="P33" s="1">
        <v>0.6</v>
      </c>
      <c r="Q33" s="1">
        <v>0.79</v>
      </c>
      <c r="R33" s="1">
        <v>0.484</v>
      </c>
    </row>
    <row r="34">
      <c r="A34" s="1" t="s">
        <v>18</v>
      </c>
      <c r="B34" s="1">
        <v>0.0</v>
      </c>
      <c r="C34" s="1">
        <v>0.04</v>
      </c>
      <c r="D34" s="1">
        <v>0.04</v>
      </c>
      <c r="E34" s="1">
        <v>0.02</v>
      </c>
      <c r="F34" s="1">
        <v>0.02</v>
      </c>
      <c r="G34" s="1">
        <v>0.02</v>
      </c>
      <c r="H34" s="1">
        <v>0.01</v>
      </c>
      <c r="I34" s="1">
        <v>0.01</v>
      </c>
      <c r="J34" s="1">
        <v>0.01</v>
      </c>
      <c r="K34" s="1">
        <v>0.01</v>
      </c>
      <c r="L34" s="1">
        <v>0.01</v>
      </c>
      <c r="M34" s="1">
        <v>0.01</v>
      </c>
      <c r="N34" s="1">
        <v>0.01</v>
      </c>
      <c r="O34" s="1">
        <v>0.01</v>
      </c>
      <c r="P34" s="1">
        <v>0.01</v>
      </c>
      <c r="Q34" s="1">
        <v>0.01</v>
      </c>
      <c r="R34" s="1">
        <v>0.04</v>
      </c>
    </row>
    <row r="35">
      <c r="A35" s="1" t="s">
        <v>19</v>
      </c>
      <c r="B35" s="6">
        <f t="shared" ref="B35:R35" si="5">2*PI()*B29*B33*0.001</f>
        <v>0</v>
      </c>
      <c r="C35" s="6">
        <f t="shared" si="5"/>
        <v>0.1815840554</v>
      </c>
      <c r="D35" s="6">
        <f t="shared" si="5"/>
        <v>0.3392920066</v>
      </c>
      <c r="E35" s="6">
        <f t="shared" si="5"/>
        <v>0.4511327051</v>
      </c>
      <c r="F35" s="6">
        <f t="shared" si="5"/>
        <v>0.6534512719</v>
      </c>
      <c r="G35" s="6">
        <f t="shared" si="5"/>
        <v>0.8565238211</v>
      </c>
      <c r="H35" s="6">
        <f t="shared" si="5"/>
        <v>1.195438837</v>
      </c>
      <c r="I35" s="6">
        <f t="shared" si="5"/>
        <v>1.393861829</v>
      </c>
      <c r="J35" s="6">
        <f t="shared" si="5"/>
        <v>1.541328188</v>
      </c>
      <c r="K35" s="6">
        <f t="shared" si="5"/>
        <v>1.801452059</v>
      </c>
      <c r="L35" s="6">
        <f t="shared" si="5"/>
        <v>2.160473268</v>
      </c>
      <c r="M35" s="6">
        <f t="shared" si="5"/>
        <v>2.302724583</v>
      </c>
      <c r="N35" s="6">
        <f t="shared" si="5"/>
        <v>2.691716586</v>
      </c>
      <c r="O35" s="6">
        <f t="shared" si="5"/>
        <v>2.683799772</v>
      </c>
      <c r="P35" s="6">
        <f t="shared" si="5"/>
        <v>2.880212145</v>
      </c>
      <c r="Q35" s="6">
        <f t="shared" si="5"/>
        <v>4.368070426</v>
      </c>
      <c r="R35" s="6">
        <f t="shared" si="5"/>
        <v>3.460728202</v>
      </c>
    </row>
    <row r="38">
      <c r="A38" s="1" t="s">
        <v>20</v>
      </c>
      <c r="D38" s="7" t="s">
        <v>21</v>
      </c>
    </row>
    <row r="39">
      <c r="A39" s="1" t="s">
        <v>22</v>
      </c>
    </row>
    <row r="40">
      <c r="A40" s="1" t="s">
        <v>23</v>
      </c>
      <c r="D40" s="1" t="s">
        <v>24</v>
      </c>
    </row>
    <row r="41">
      <c r="A41" s="1" t="s">
        <v>25</v>
      </c>
      <c r="B41" s="1">
        <v>516.0</v>
      </c>
      <c r="C41" s="1" t="s">
        <v>26</v>
      </c>
    </row>
    <row r="42">
      <c r="A42" s="1" t="s">
        <v>3</v>
      </c>
      <c r="B42" s="2">
        <v>1.0E-9</v>
      </c>
      <c r="C42" s="2">
        <v>1.0E-9</v>
      </c>
      <c r="D42" s="2">
        <v>1.0E-9</v>
      </c>
      <c r="E42" s="2">
        <v>1.0E-9</v>
      </c>
      <c r="F42" s="2">
        <v>1.0E-9</v>
      </c>
      <c r="G42" s="2">
        <v>1.0E-9</v>
      </c>
      <c r="H42" s="2">
        <v>1.0E-9</v>
      </c>
      <c r="I42" s="2">
        <v>1.0E-9</v>
      </c>
      <c r="J42" s="2">
        <v>1.0E-9</v>
      </c>
      <c r="K42" s="2">
        <v>1.0E-9</v>
      </c>
      <c r="L42" s="2">
        <v>1.0E-9</v>
      </c>
      <c r="M42" s="2"/>
    </row>
    <row r="43">
      <c r="A43" s="1" t="s">
        <v>27</v>
      </c>
      <c r="B43" s="1">
        <v>1.0</v>
      </c>
      <c r="C43" s="1">
        <v>1.0</v>
      </c>
      <c r="D43" s="1">
        <v>1.0</v>
      </c>
      <c r="E43" s="1">
        <v>1.0</v>
      </c>
      <c r="F43" s="1">
        <v>1.0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</row>
    <row r="44">
      <c r="A44" s="1" t="s">
        <v>28</v>
      </c>
      <c r="B44" s="1">
        <v>0.0</v>
      </c>
      <c r="C44" s="1">
        <v>100.0</v>
      </c>
      <c r="D44" s="1">
        <v>200.0</v>
      </c>
      <c r="E44" s="1">
        <v>300.0</v>
      </c>
      <c r="F44" s="1">
        <v>400.0</v>
      </c>
      <c r="G44" s="1">
        <v>500.0</v>
      </c>
      <c r="H44" s="1">
        <v>600.0</v>
      </c>
      <c r="I44" s="1">
        <v>700.0</v>
      </c>
      <c r="J44" s="1">
        <v>800.0</v>
      </c>
      <c r="K44" s="1">
        <v>900.0</v>
      </c>
      <c r="L44" s="1">
        <v>1000.0</v>
      </c>
    </row>
    <row r="45">
      <c r="A45" s="1" t="s">
        <v>29</v>
      </c>
      <c r="B45" s="1">
        <v>8.9</v>
      </c>
      <c r="C45" s="1">
        <v>12.4</v>
      </c>
      <c r="D45" s="1">
        <v>14.4</v>
      </c>
      <c r="E45" s="1">
        <v>15.7</v>
      </c>
      <c r="F45" s="1">
        <v>16.6</v>
      </c>
      <c r="G45" s="1">
        <v>17.1</v>
      </c>
      <c r="H45" s="1">
        <v>17.7</v>
      </c>
      <c r="I45" s="1">
        <v>18.1</v>
      </c>
      <c r="J45" s="1">
        <v>17.5</v>
      </c>
      <c r="K45" s="1">
        <v>18.7</v>
      </c>
      <c r="L45" s="1">
        <v>18.9</v>
      </c>
    </row>
    <row r="46">
      <c r="A46" s="1" t="s">
        <v>30</v>
      </c>
      <c r="B46" s="1">
        <v>0.1</v>
      </c>
      <c r="C46" s="1">
        <v>0.1</v>
      </c>
      <c r="D46" s="1">
        <v>0.1</v>
      </c>
      <c r="E46" s="1">
        <v>0.1</v>
      </c>
      <c r="F46" s="1">
        <v>0.1</v>
      </c>
      <c r="G46" s="1">
        <v>0.1</v>
      </c>
      <c r="H46" s="1">
        <v>0.1</v>
      </c>
      <c r="I46" s="1">
        <v>0.1</v>
      </c>
      <c r="J46" s="1">
        <v>0.1</v>
      </c>
      <c r="K46" s="1">
        <v>0.1</v>
      </c>
      <c r="L46" s="1">
        <v>0.1</v>
      </c>
    </row>
    <row r="47">
      <c r="A47" s="1" t="s">
        <v>31</v>
      </c>
      <c r="B47" s="1">
        <v>8.5</v>
      </c>
      <c r="C47" s="1">
        <v>6.2</v>
      </c>
      <c r="D47" s="1">
        <v>4.8</v>
      </c>
      <c r="E47" s="1">
        <v>3.9</v>
      </c>
      <c r="F47" s="1">
        <v>3.3</v>
      </c>
      <c r="G47" s="1">
        <v>2.9</v>
      </c>
      <c r="H47" s="1">
        <v>2.6</v>
      </c>
      <c r="I47" s="1">
        <v>2.2</v>
      </c>
      <c r="J47" s="1">
        <v>2.1</v>
      </c>
      <c r="K47" s="1">
        <v>2.0</v>
      </c>
      <c r="L47" s="1">
        <v>1.8</v>
      </c>
    </row>
    <row r="48">
      <c r="A48" s="1" t="s">
        <v>32</v>
      </c>
      <c r="B48" s="1">
        <v>0.1</v>
      </c>
      <c r="C48" s="1">
        <v>0.1</v>
      </c>
      <c r="D48" s="1">
        <v>0.1</v>
      </c>
      <c r="E48" s="1">
        <v>0.1</v>
      </c>
      <c r="F48" s="1">
        <v>0.1</v>
      </c>
      <c r="G48" s="1">
        <v>0.1</v>
      </c>
      <c r="H48" s="1">
        <v>0.1</v>
      </c>
      <c r="I48" s="1">
        <v>0.1</v>
      </c>
      <c r="J48" s="1">
        <v>0.1</v>
      </c>
      <c r="K48" s="1">
        <v>0.1</v>
      </c>
      <c r="L48" s="1">
        <v>0.1</v>
      </c>
    </row>
    <row r="49">
      <c r="B49" s="6">
        <f t="shared" ref="B49:L49" si="6">B45+B47</f>
        <v>17.4</v>
      </c>
      <c r="C49" s="6">
        <f t="shared" si="6"/>
        <v>18.6</v>
      </c>
      <c r="D49" s="6">
        <f t="shared" si="6"/>
        <v>19.2</v>
      </c>
      <c r="E49" s="6">
        <f t="shared" si="6"/>
        <v>19.6</v>
      </c>
      <c r="F49" s="6">
        <f t="shared" si="6"/>
        <v>19.9</v>
      </c>
      <c r="G49" s="6">
        <f t="shared" si="6"/>
        <v>20</v>
      </c>
      <c r="H49" s="6">
        <f t="shared" si="6"/>
        <v>20.3</v>
      </c>
      <c r="I49" s="6">
        <f t="shared" si="6"/>
        <v>20.3</v>
      </c>
      <c r="J49" s="6">
        <f t="shared" si="6"/>
        <v>19.6</v>
      </c>
      <c r="K49" s="6">
        <f t="shared" si="6"/>
        <v>20.7</v>
      </c>
      <c r="L49" s="6">
        <f t="shared" si="6"/>
        <v>20.7</v>
      </c>
    </row>
    <row r="52">
      <c r="A52" s="1" t="s">
        <v>33</v>
      </c>
    </row>
    <row r="53">
      <c r="A53" s="1" t="s">
        <v>34</v>
      </c>
    </row>
    <row r="54">
      <c r="A54" s="1" t="s">
        <v>35</v>
      </c>
      <c r="B54" s="1">
        <v>100.0</v>
      </c>
    </row>
    <row r="55">
      <c r="A55" s="1" t="s">
        <v>36</v>
      </c>
      <c r="B55" s="1">
        <v>1.0</v>
      </c>
    </row>
    <row r="56">
      <c r="A56" s="1" t="s">
        <v>37</v>
      </c>
      <c r="B56" s="1">
        <v>100.0</v>
      </c>
    </row>
    <row r="57">
      <c r="A57" s="1" t="s">
        <v>38</v>
      </c>
      <c r="B57" s="1" t="s">
        <v>39</v>
      </c>
    </row>
    <row r="58">
      <c r="A58" s="1" t="s">
        <v>40</v>
      </c>
      <c r="B58" s="1">
        <v>177.0</v>
      </c>
      <c r="C58" s="1">
        <v>209.0</v>
      </c>
      <c r="D58" s="1">
        <v>248.0</v>
      </c>
      <c r="E58" s="1">
        <v>296.0</v>
      </c>
      <c r="F58" s="1">
        <v>330.0</v>
      </c>
      <c r="G58" s="1">
        <v>379.0</v>
      </c>
      <c r="H58" s="1">
        <v>423.0</v>
      </c>
      <c r="I58" s="1">
        <v>467.0</v>
      </c>
      <c r="J58" s="1">
        <v>492.0</v>
      </c>
      <c r="K58" s="1">
        <v>535.0</v>
      </c>
      <c r="L58" s="1">
        <v>561.0</v>
      </c>
      <c r="M58" s="1">
        <v>590.0</v>
      </c>
      <c r="N58" s="1">
        <v>627.0</v>
      </c>
      <c r="O58" s="1">
        <v>656.0</v>
      </c>
      <c r="P58" s="1">
        <v>703.0</v>
      </c>
      <c r="Q58" s="1">
        <v>766.0</v>
      </c>
      <c r="R58" s="1">
        <v>827.0</v>
      </c>
      <c r="S58" s="1">
        <v>901.0</v>
      </c>
      <c r="T58" s="1">
        <v>956.0</v>
      </c>
      <c r="U58" s="1">
        <v>994.0</v>
      </c>
      <c r="V58" s="1">
        <v>1027.0</v>
      </c>
      <c r="W58" s="1">
        <v>1079.0</v>
      </c>
      <c r="X58" s="1">
        <v>1103.0</v>
      </c>
      <c r="Y58" s="1">
        <v>1146.0</v>
      </c>
      <c r="Z58" s="1">
        <v>1205.0</v>
      </c>
    </row>
    <row r="59">
      <c r="A59" s="1" t="s">
        <v>41</v>
      </c>
      <c r="B59" s="1">
        <v>1.0</v>
      </c>
      <c r="C59" s="1">
        <v>1.0</v>
      </c>
      <c r="D59" s="1">
        <v>1.0</v>
      </c>
      <c r="E59" s="1">
        <v>1.0</v>
      </c>
      <c r="F59" s="1">
        <v>1.0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1.0</v>
      </c>
      <c r="U59" s="1">
        <v>1.0</v>
      </c>
      <c r="V59" s="1">
        <v>1.0</v>
      </c>
      <c r="W59" s="1">
        <v>1.0</v>
      </c>
      <c r="X59" s="1">
        <v>1.0</v>
      </c>
      <c r="Y59" s="1">
        <v>1.0</v>
      </c>
      <c r="Z59" s="1">
        <v>1.0</v>
      </c>
    </row>
    <row r="60">
      <c r="A60" s="1" t="s">
        <v>42</v>
      </c>
      <c r="B60" s="2">
        <v>6.0E-8</v>
      </c>
    </row>
    <row r="61">
      <c r="A61" s="1" t="s">
        <v>43</v>
      </c>
      <c r="B61" s="1">
        <v>13.6</v>
      </c>
      <c r="C61" s="1">
        <v>14.0</v>
      </c>
      <c r="D61" s="1">
        <v>14.4</v>
      </c>
      <c r="E61" s="1">
        <v>15.4</v>
      </c>
      <c r="F61" s="1">
        <v>16.8</v>
      </c>
      <c r="G61" s="1">
        <v>18.6</v>
      </c>
      <c r="H61" s="1">
        <v>21.6</v>
      </c>
      <c r="I61" s="1">
        <v>25.0</v>
      </c>
      <c r="J61" s="1">
        <v>28.0</v>
      </c>
      <c r="K61" s="1">
        <v>35.8</v>
      </c>
      <c r="L61" s="1">
        <v>42.2</v>
      </c>
      <c r="M61" s="1">
        <v>49.6</v>
      </c>
      <c r="N61" s="1">
        <v>53.8</v>
      </c>
      <c r="O61" s="1">
        <v>49.0</v>
      </c>
      <c r="P61" s="1">
        <v>35.2</v>
      </c>
      <c r="Q61" s="1">
        <v>23.2</v>
      </c>
      <c r="R61" s="1">
        <v>16.4</v>
      </c>
      <c r="S61" s="1">
        <v>12.0</v>
      </c>
      <c r="T61" s="1">
        <v>9.8</v>
      </c>
      <c r="U61" s="1">
        <v>8.8</v>
      </c>
      <c r="V61" s="1">
        <v>8.0</v>
      </c>
      <c r="W61" s="1">
        <v>6.8</v>
      </c>
      <c r="X61" s="1">
        <v>6.2</v>
      </c>
      <c r="Y61" s="1">
        <v>5.6</v>
      </c>
      <c r="Z61" s="1">
        <v>4.8</v>
      </c>
    </row>
    <row r="62">
      <c r="A62" s="1" t="s">
        <v>30</v>
      </c>
      <c r="B62" s="1">
        <v>0.1</v>
      </c>
      <c r="C62" s="1">
        <v>0.1</v>
      </c>
      <c r="D62" s="1">
        <v>0.1</v>
      </c>
      <c r="E62" s="1">
        <v>0.2</v>
      </c>
      <c r="F62" s="1">
        <v>0.01</v>
      </c>
      <c r="G62" s="1">
        <v>0.02</v>
      </c>
      <c r="H62" s="1">
        <v>0.1</v>
      </c>
      <c r="I62" s="1">
        <v>0.2</v>
      </c>
      <c r="J62" s="1">
        <v>0.1</v>
      </c>
      <c r="K62" s="1">
        <v>0.2</v>
      </c>
      <c r="L62" s="1">
        <v>0.2</v>
      </c>
      <c r="M62" s="1">
        <v>0.1</v>
      </c>
      <c r="N62" s="1">
        <v>0.2</v>
      </c>
      <c r="O62" s="1">
        <v>0.2</v>
      </c>
      <c r="P62" s="1">
        <v>0.1</v>
      </c>
      <c r="Q62" s="1">
        <v>0.1</v>
      </c>
      <c r="R62" s="1">
        <v>0.1</v>
      </c>
      <c r="S62" s="1">
        <v>0.1</v>
      </c>
      <c r="T62" s="1">
        <v>0.2</v>
      </c>
      <c r="U62" s="1">
        <v>0.1</v>
      </c>
      <c r="V62" s="1">
        <v>0.1</v>
      </c>
      <c r="W62" s="1">
        <v>0.1</v>
      </c>
      <c r="X62" s="1">
        <v>0.2</v>
      </c>
      <c r="Y62" s="1">
        <v>0.1</v>
      </c>
      <c r="Z62" s="1">
        <v>0.1</v>
      </c>
    </row>
    <row r="63">
      <c r="A63" s="1" t="s">
        <v>44</v>
      </c>
      <c r="B63" s="1">
        <v>0.0</v>
      </c>
      <c r="C63" s="1">
        <v>0.12</v>
      </c>
      <c r="D63" s="1">
        <v>0.2</v>
      </c>
      <c r="E63" s="1">
        <v>0.16</v>
      </c>
      <c r="F63" s="1">
        <v>0.08</v>
      </c>
      <c r="G63" s="1">
        <v>0.12</v>
      </c>
      <c r="H63" s="1">
        <v>0.16</v>
      </c>
      <c r="I63" s="1">
        <v>0.12</v>
      </c>
      <c r="J63" s="1">
        <v>0.12</v>
      </c>
      <c r="K63" s="1">
        <v>0.2</v>
      </c>
      <c r="L63" s="1">
        <v>0.2</v>
      </c>
      <c r="M63" s="1">
        <v>1.8</v>
      </c>
      <c r="N63" s="1">
        <v>0.2</v>
      </c>
      <c r="O63" s="1">
        <v>0.48</v>
      </c>
      <c r="P63" s="1">
        <v>0.52</v>
      </c>
      <c r="Q63" s="1">
        <v>0.52</v>
      </c>
      <c r="R63" s="1">
        <v>0.52</v>
      </c>
      <c r="S63" s="1">
        <v>0.52</v>
      </c>
      <c r="T63" s="1">
        <v>0.48</v>
      </c>
      <c r="U63" s="1">
        <v>0.52</v>
      </c>
      <c r="V63" s="1">
        <v>0.52</v>
      </c>
      <c r="W63" s="1">
        <v>0.44</v>
      </c>
      <c r="X63" s="1">
        <v>0.44</v>
      </c>
      <c r="Y63" s="1">
        <v>0.44</v>
      </c>
      <c r="Z63" s="1">
        <v>0.4</v>
      </c>
    </row>
    <row r="64">
      <c r="A64" s="1" t="s">
        <v>45</v>
      </c>
      <c r="C64" s="1">
        <v>0.04</v>
      </c>
      <c r="D64" s="1">
        <v>0.04</v>
      </c>
      <c r="E64" s="1">
        <v>0.04</v>
      </c>
      <c r="F64" s="1">
        <v>0.04</v>
      </c>
      <c r="G64" s="1">
        <v>0.04</v>
      </c>
      <c r="H64" s="1">
        <v>0.04</v>
      </c>
      <c r="I64" s="1">
        <v>0.04</v>
      </c>
      <c r="J64" s="1">
        <v>0.04</v>
      </c>
      <c r="K64" s="1">
        <v>0.04</v>
      </c>
      <c r="L64" s="1">
        <v>0.04</v>
      </c>
      <c r="M64" s="1">
        <v>0.04</v>
      </c>
      <c r="N64" s="1">
        <v>0.04</v>
      </c>
      <c r="O64" s="1">
        <v>0.04</v>
      </c>
      <c r="P64" s="1">
        <v>0.04</v>
      </c>
      <c r="Q64" s="1">
        <v>0.04</v>
      </c>
      <c r="R64" s="1">
        <v>0.04</v>
      </c>
      <c r="S64" s="1">
        <v>0.04</v>
      </c>
      <c r="T64" s="1">
        <v>0.04</v>
      </c>
      <c r="U64" s="1">
        <v>0.04</v>
      </c>
      <c r="V64" s="1">
        <v>0.04</v>
      </c>
      <c r="W64" s="1">
        <v>0.04</v>
      </c>
      <c r="X64" s="1">
        <v>0.04</v>
      </c>
      <c r="Y64" s="1">
        <v>0.04</v>
      </c>
      <c r="Z64" s="1">
        <v>0.04</v>
      </c>
    </row>
    <row r="65">
      <c r="A65" s="1" t="s">
        <v>46</v>
      </c>
      <c r="B65" s="2">
        <v>2.0E-8</v>
      </c>
    </row>
    <row r="66">
      <c r="A66" s="1" t="s">
        <v>31</v>
      </c>
      <c r="B66" s="1">
        <v>6.2</v>
      </c>
      <c r="C66" s="1">
        <v>6.5</v>
      </c>
      <c r="D66" s="1">
        <v>6.6</v>
      </c>
      <c r="E66" s="1">
        <v>6.7</v>
      </c>
      <c r="F66" s="1">
        <v>6.8</v>
      </c>
      <c r="G66" s="1">
        <v>6.9</v>
      </c>
      <c r="H66" s="1">
        <v>7.0</v>
      </c>
      <c r="I66" s="1">
        <v>7.6</v>
      </c>
      <c r="J66" s="1">
        <v>7.6</v>
      </c>
      <c r="K66" s="1">
        <v>7.8</v>
      </c>
      <c r="L66" s="1">
        <v>7.8</v>
      </c>
      <c r="M66" s="1">
        <v>7.9</v>
      </c>
      <c r="N66" s="1">
        <v>8.2</v>
      </c>
      <c r="O66" s="1">
        <v>8.6</v>
      </c>
      <c r="P66" s="8">
        <v>45847.0</v>
      </c>
      <c r="Q66" s="1">
        <v>11.3</v>
      </c>
      <c r="R66" s="1">
        <v>13.3</v>
      </c>
      <c r="S66" s="1">
        <v>17.5</v>
      </c>
      <c r="T66" s="1">
        <v>22.6</v>
      </c>
      <c r="U66" s="1">
        <v>28.4</v>
      </c>
      <c r="V66" s="1">
        <v>36.4</v>
      </c>
      <c r="W66" s="1">
        <v>50.4</v>
      </c>
      <c r="X66" s="1">
        <v>50.4</v>
      </c>
      <c r="Y66" s="1">
        <v>39.0</v>
      </c>
      <c r="Z66" s="1">
        <v>25.4</v>
      </c>
    </row>
    <row r="67">
      <c r="A67" s="1" t="s">
        <v>32</v>
      </c>
      <c r="B67" s="1">
        <v>0.1</v>
      </c>
      <c r="C67" s="1">
        <v>0.2</v>
      </c>
      <c r="D67" s="1">
        <v>0.1</v>
      </c>
      <c r="E67" s="1">
        <v>0.1</v>
      </c>
      <c r="F67" s="1">
        <v>0.1</v>
      </c>
      <c r="G67" s="1">
        <v>0.1</v>
      </c>
      <c r="H67" s="1">
        <v>0.1</v>
      </c>
      <c r="I67" s="1">
        <v>0.1</v>
      </c>
      <c r="J67" s="1">
        <v>0.1</v>
      </c>
      <c r="K67" s="1">
        <v>0.1</v>
      </c>
      <c r="L67" s="1">
        <v>0.1</v>
      </c>
      <c r="M67" s="1">
        <v>0.1</v>
      </c>
      <c r="N67" s="1">
        <v>0.1</v>
      </c>
      <c r="O67" s="1">
        <v>0.1</v>
      </c>
      <c r="P67" s="1">
        <v>0.1</v>
      </c>
      <c r="Q67" s="1">
        <v>0.1</v>
      </c>
      <c r="R67" s="1">
        <v>0.1</v>
      </c>
      <c r="S67" s="1">
        <v>0.1</v>
      </c>
      <c r="T67" s="1">
        <v>0.1</v>
      </c>
      <c r="U67" s="1">
        <v>0.2</v>
      </c>
      <c r="V67" s="1">
        <v>0.1</v>
      </c>
      <c r="W67" s="1">
        <v>0.1</v>
      </c>
      <c r="X67" s="1">
        <v>0.1</v>
      </c>
      <c r="Y67" s="1">
        <v>0.2</v>
      </c>
      <c r="Z67" s="1">
        <v>0.2</v>
      </c>
    </row>
    <row r="68">
      <c r="A68" s="1" t="s">
        <v>47</v>
      </c>
      <c r="B68" s="1">
        <v>0.0</v>
      </c>
      <c r="C68" s="1">
        <v>0.08</v>
      </c>
      <c r="D68" s="1">
        <v>0.12</v>
      </c>
      <c r="E68" s="1">
        <v>0.08</v>
      </c>
      <c r="F68" s="1">
        <v>0.08</v>
      </c>
      <c r="G68" s="1">
        <v>0.08</v>
      </c>
      <c r="H68" s="1">
        <v>0.08</v>
      </c>
      <c r="I68" s="1">
        <v>0.08</v>
      </c>
      <c r="J68" s="1">
        <v>0.04</v>
      </c>
      <c r="K68" s="1">
        <v>0.08</v>
      </c>
      <c r="L68" s="1">
        <v>0.08</v>
      </c>
      <c r="M68" s="1">
        <v>0.08</v>
      </c>
      <c r="N68" s="1">
        <v>0.08</v>
      </c>
      <c r="O68" s="1">
        <v>0.08</v>
      </c>
      <c r="P68" s="1">
        <v>0.08</v>
      </c>
      <c r="Q68" s="1">
        <v>0.08</v>
      </c>
      <c r="R68" s="1">
        <v>0.08</v>
      </c>
      <c r="S68" s="1">
        <v>0.14</v>
      </c>
      <c r="T68" s="1">
        <v>0.12</v>
      </c>
      <c r="U68" s="1">
        <v>0.08</v>
      </c>
      <c r="V68" s="1">
        <v>0.11</v>
      </c>
      <c r="W68" s="1">
        <v>0.19</v>
      </c>
      <c r="X68" s="1">
        <v>0.23</v>
      </c>
      <c r="Y68" s="1">
        <v>0.3</v>
      </c>
      <c r="Z68" s="1">
        <v>0.34</v>
      </c>
    </row>
    <row r="69">
      <c r="A69" s="1" t="s">
        <v>48</v>
      </c>
      <c r="C69" s="1">
        <v>0.04</v>
      </c>
      <c r="D69" s="1">
        <v>0.04</v>
      </c>
      <c r="E69" s="1">
        <v>0.04</v>
      </c>
      <c r="F69" s="1">
        <v>0.04</v>
      </c>
      <c r="G69" s="1">
        <v>0.04</v>
      </c>
      <c r="H69" s="1">
        <v>0.04</v>
      </c>
      <c r="I69" s="1">
        <v>0.04</v>
      </c>
      <c r="J69" s="1">
        <v>0.04</v>
      </c>
      <c r="K69" s="1">
        <v>0.04</v>
      </c>
      <c r="L69" s="1">
        <v>0.04</v>
      </c>
      <c r="M69" s="1">
        <v>0.04</v>
      </c>
      <c r="N69" s="1">
        <v>0.04</v>
      </c>
      <c r="O69" s="1">
        <v>0.04</v>
      </c>
      <c r="P69" s="1">
        <v>0.04</v>
      </c>
      <c r="Q69" s="1">
        <v>0.04</v>
      </c>
      <c r="R69" s="1">
        <v>0.04</v>
      </c>
      <c r="S69" s="1">
        <v>0.04</v>
      </c>
      <c r="T69" s="1">
        <v>0.04</v>
      </c>
      <c r="U69" s="1">
        <v>0.01</v>
      </c>
      <c r="V69" s="1">
        <v>0.01</v>
      </c>
      <c r="W69" s="1">
        <v>0.01</v>
      </c>
      <c r="X69" s="1">
        <v>0.01</v>
      </c>
      <c r="Y69" s="1">
        <v>0.01</v>
      </c>
      <c r="Z69" s="1">
        <v>0.01</v>
      </c>
    </row>
    <row r="71">
      <c r="A71" s="1" t="s">
        <v>40</v>
      </c>
      <c r="B71" s="2">
        <v>1320.0</v>
      </c>
      <c r="C71" s="1">
        <v>1387.0</v>
      </c>
      <c r="D71" s="1">
        <v>1531.0</v>
      </c>
    </row>
    <row r="72">
      <c r="A72" s="1" t="s">
        <v>41</v>
      </c>
      <c r="B72" s="1">
        <v>1.0</v>
      </c>
      <c r="C72" s="1">
        <v>1.0</v>
      </c>
      <c r="D72" s="1">
        <v>1.0</v>
      </c>
    </row>
    <row r="73">
      <c r="A73" s="1" t="s">
        <v>42</v>
      </c>
      <c r="B73" s="2">
        <v>6.0E-8</v>
      </c>
    </row>
    <row r="74">
      <c r="A74" s="1" t="s">
        <v>43</v>
      </c>
      <c r="B74" s="1">
        <v>4.0</v>
      </c>
      <c r="C74" s="1">
        <v>3.8</v>
      </c>
      <c r="D74" s="1">
        <v>2.8</v>
      </c>
    </row>
    <row r="75">
      <c r="A75" s="1" t="s">
        <v>30</v>
      </c>
      <c r="B75" s="1">
        <v>0.1</v>
      </c>
      <c r="C75" s="1">
        <v>0.2</v>
      </c>
      <c r="D75" s="1">
        <v>0.1</v>
      </c>
    </row>
    <row r="76">
      <c r="A76" s="1" t="s">
        <v>44</v>
      </c>
      <c r="B76" s="1">
        <v>0.34</v>
      </c>
      <c r="C76" s="1">
        <v>0.46</v>
      </c>
      <c r="D76" s="1">
        <v>0.42</v>
      </c>
    </row>
    <row r="77">
      <c r="A77" s="1" t="s">
        <v>45</v>
      </c>
      <c r="B77" s="2">
        <v>0.04</v>
      </c>
      <c r="C77" s="1">
        <v>0.04</v>
      </c>
      <c r="D77" s="1">
        <v>0.04</v>
      </c>
    </row>
    <row r="78">
      <c r="A78" s="1" t="s">
        <v>46</v>
      </c>
      <c r="B78" s="2">
        <v>2.0E-8</v>
      </c>
    </row>
    <row r="79">
      <c r="A79" s="1" t="s">
        <v>31</v>
      </c>
      <c r="B79" s="1">
        <v>13.6</v>
      </c>
      <c r="C79" s="1">
        <v>10.6</v>
      </c>
      <c r="D79" s="1">
        <v>6.8</v>
      </c>
    </row>
    <row r="80">
      <c r="A80" s="1" t="s">
        <v>32</v>
      </c>
      <c r="B80" s="1">
        <v>0.1</v>
      </c>
      <c r="C80" s="1">
        <v>0.2</v>
      </c>
      <c r="D80" s="1">
        <v>0.1</v>
      </c>
    </row>
    <row r="81">
      <c r="A81" s="1" t="s">
        <v>47</v>
      </c>
      <c r="B81" s="1">
        <v>0.34</v>
      </c>
      <c r="C81" s="1">
        <v>0.43</v>
      </c>
      <c r="D81" s="1">
        <v>0.41</v>
      </c>
    </row>
    <row r="82">
      <c r="A82" s="1" t="s">
        <v>48</v>
      </c>
      <c r="B82" s="1">
        <v>0.01</v>
      </c>
      <c r="C82" s="1">
        <v>0.01</v>
      </c>
      <c r="D82" s="1">
        <v>0.01</v>
      </c>
    </row>
  </sheetData>
  <hyperlinks>
    <hyperlink r:id="rId1" ref="D38"/>
  </hyperlinks>
  <drawing r:id="rId2"/>
</worksheet>
</file>